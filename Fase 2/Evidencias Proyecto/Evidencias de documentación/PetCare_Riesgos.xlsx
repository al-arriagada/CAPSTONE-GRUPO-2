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 Críticos" sheetId="1" r:id="rId4"/>
    <sheet state="visible" name="Plan de Acción" sheetId="2" r:id="rId5"/>
    <sheet state="visible" name="Métricas de Seguimiento" sheetId="3" r:id="rId6"/>
  </sheets>
  <definedNames/>
  <calcPr/>
</workbook>
</file>

<file path=xl/sharedStrings.xml><?xml version="1.0" encoding="utf-8"?>
<sst xmlns="http://schemas.openxmlformats.org/spreadsheetml/2006/main" count="543" uniqueCount="350">
  <si>
    <t>Registro y Seguimiento de Riesgos</t>
  </si>
  <si>
    <t>Nro.</t>
  </si>
  <si>
    <t>Riesgo/Evento de Riesgo</t>
  </si>
  <si>
    <t>Categoría</t>
  </si>
  <si>
    <t>Fuente/Causa/
Condición</t>
  </si>
  <si>
    <t>Impacta a/ Consecuencias
Objetivos Proyecto</t>
  </si>
  <si>
    <t>Descripción y Comentarios</t>
  </si>
  <si>
    <t>Tipo</t>
  </si>
  <si>
    <t>Probabilidad</t>
  </si>
  <si>
    <t>Valor de Probabilidad</t>
  </si>
  <si>
    <t>Justificación probabilidad</t>
  </si>
  <si>
    <t>Impacto</t>
  </si>
  <si>
    <t>Valor Impacto</t>
  </si>
  <si>
    <t>Magnitud</t>
  </si>
  <si>
    <t>Respuesta</t>
  </si>
  <si>
    <t>Asignado a (Responsable)</t>
  </si>
  <si>
    <t>Cuando 
Fecha estimada de ocurrencia</t>
  </si>
  <si>
    <t>Tipo de estrategia</t>
  </si>
  <si>
    <t>Mitigación</t>
  </si>
  <si>
    <t>Clasificación (E)</t>
  </si>
  <si>
    <t>Clasificación (I)</t>
  </si>
  <si>
    <t>Clasificación (R)</t>
  </si>
  <si>
    <t>Justificación</t>
  </si>
  <si>
    <t>PC-101</t>
  </si>
  <si>
    <t>Fallos de seguridad en Supabase o Edge Functions.</t>
  </si>
  <si>
    <t>Técnico</t>
  </si>
  <si>
    <t>Configuración deficiente de seguridad o políticas RLS.</t>
  </si>
  <si>
    <t>Seguridad, privacidad y reputación del sistema.</t>
  </si>
  <si>
    <t>Riesgo de exposición de datos personales.</t>
  </si>
  <si>
    <t>Amenaza</t>
  </si>
  <si>
    <t>Alta</t>
  </si>
  <si>
    <t>Requiere experiencia y pruebas específicas.</t>
  </si>
  <si>
    <t>Mitigar</t>
  </si>
  <si>
    <t>Líder técnico / QA</t>
  </si>
  <si>
    <t>Etapa de desarrollo</t>
  </si>
  <si>
    <t>Reducción</t>
  </si>
  <si>
    <t>Auditorías de seguridad, pruebas de penetración, backups.</t>
  </si>
  <si>
    <t>Moderado</t>
  </si>
  <si>
    <t>Alto</t>
  </si>
  <si>
    <t>Aumenta el riesgo de incumplir normas o sufrir intrusiones en R.</t>
  </si>
  <si>
    <t>PC-102</t>
  </si>
  <si>
    <t>Errores de integración entre front-end y back-end.</t>
  </si>
  <si>
    <t>Endpoints mal definidos o no documentados.</t>
  </si>
  <si>
    <t>Alcance y cronograma.</t>
  </si>
  <si>
    <t>Falla de sincronización entre módulos.</t>
  </si>
  <si>
    <t>Media</t>
  </si>
  <si>
    <t>Común en integraciones REST/JS.</t>
  </si>
  <si>
    <t>Desarrolladores</t>
  </si>
  <si>
    <t>En cada sprint</t>
  </si>
  <si>
    <t>Validar endpoints y realizar pruebas de integración.</t>
  </si>
  <si>
    <t>Crítico</t>
  </si>
  <si>
    <t>En I o R, la reposición de hardware/software sería más difícil.</t>
  </si>
  <si>
    <t>PC-103</t>
  </si>
  <si>
    <t>Lentitud o sobrecarga del sistema.</t>
  </si>
  <si>
    <t>Consultas ineficientes o exceso de peticiones.</t>
  </si>
  <si>
    <t>Calidad del producto.</t>
  </si>
  <si>
    <t>Experiencia de usuario degradada.</t>
  </si>
  <si>
    <t>Posible por volumen de tráfico o pruebas.</t>
  </si>
  <si>
    <t>Medio</t>
  </si>
  <si>
    <t>Líder técnico</t>
  </si>
  <si>
    <t>Pruebas y operación</t>
  </si>
  <si>
    <t>Monitoreo de rendimiento y optimización de queries.</t>
  </si>
  <si>
    <t>No hay margen para extender fechas, lo que agrava otros riesgos.</t>
  </si>
  <si>
    <t>PC-104</t>
  </si>
  <si>
    <t>Implementación exitosa de nuevas funciones (clustering).</t>
  </si>
  <si>
    <t>Desarrollo y validación correcta del módulo analítico.</t>
  </si>
  <si>
    <t>Innovación y valor del producto.</t>
  </si>
  <si>
    <t>Mejora la personalización del sistema.</t>
  </si>
  <si>
    <t>Oportunidad</t>
  </si>
  <si>
    <t>Desarrollo planificado con buena base.</t>
  </si>
  <si>
    <t>Explotar</t>
  </si>
  <si>
    <t>Equipo analítico</t>
  </si>
  <si>
    <t>Sprint 4</t>
  </si>
  <si>
    <t>Mejora</t>
  </si>
  <si>
    <t>Documentar y validar resultados del clustering.</t>
  </si>
  <si>
    <t>En R, no hay fondos para recalibrar o reforzar el sistema.</t>
  </si>
  <si>
    <t>PC-105</t>
  </si>
  <si>
    <t>Optimización del rendimiento del sistema.</t>
  </si>
  <si>
    <t>Refactorización y mejoras de código.</t>
  </si>
  <si>
    <t>Calidad y satisfacción del usuario.</t>
  </si>
  <si>
    <t>Reducción del tiempo de carga.</t>
  </si>
  <si>
    <t>Deriva de trabajo técnico continuo.</t>
  </si>
  <si>
    <t>Potenciar</t>
  </si>
  <si>
    <t>Equipo técnico</t>
  </si>
  <si>
    <t>Iterativo</t>
  </si>
  <si>
    <t>Aplicar buenas prácticas y mediciones de performance.</t>
  </si>
  <si>
    <t>Reponer cámaras en R es inviable; pérdida de funcionalidad.</t>
  </si>
  <si>
    <t>PC-106</t>
  </si>
  <si>
    <t>Caída o interrupción de servicios externos (Vercel, Resend, Supabase).</t>
  </si>
  <si>
    <t>Externo</t>
  </si>
  <si>
    <t>Fallo o mantenimiento de proveedores.</t>
  </si>
  <si>
    <t>Disponibilidad y entregas.</t>
  </si>
  <si>
    <t>Interrupción temporal del sistema.</t>
  </si>
  <si>
    <t>Riesgo fuera del control interno.</t>
  </si>
  <si>
    <t>DevOps / Infraestructura</t>
  </si>
  <si>
    <t>Fase operativa</t>
  </si>
  <si>
    <t>Backups locales y monitoreo de uptime.</t>
  </si>
  <si>
    <t>Sin una campaña adecuada, el sistema falla en su propósito.</t>
  </si>
  <si>
    <t>PC-107</t>
  </si>
  <si>
    <t>Cambios en políticas de APIs o servicios gratuitos.</t>
  </si>
  <si>
    <t>Actualización o cambio de licencias.</t>
  </si>
  <si>
    <t>Ajustes de código o migración.</t>
  </si>
  <si>
    <t>Frecuente en servicios externos.</t>
  </si>
  <si>
    <t>Desarrollo</t>
  </si>
  <si>
    <t>Mantener documentación y versiones fijas.</t>
  </si>
  <si>
    <t>En R, se pierden recursos sin capacidad de reembolso.</t>
  </si>
  <si>
    <t>PC-108</t>
  </si>
  <si>
    <t>Pérdida de conectividad o cortes eléctricos.</t>
  </si>
  <si>
    <t>Factores externos (ISP o energía).</t>
  </si>
  <si>
    <t>Cronograma y entregas.</t>
  </si>
  <si>
    <t>Interrupción temporal del trabajo.</t>
  </si>
  <si>
    <t>Riesgo ocasional.</t>
  </si>
  <si>
    <t>Aceptar</t>
  </si>
  <si>
    <t>Equipo completo</t>
  </si>
  <si>
    <t>En pruebas</t>
  </si>
  <si>
    <t>Aceptación</t>
  </si>
  <si>
    <t>Planificar tiempo adicional y respaldos.</t>
  </si>
  <si>
    <t>PC-109</t>
  </si>
  <si>
    <t>Colaboraciones con clínicas veterinarias o municipalidades.</t>
  </si>
  <si>
    <t>Acuerdos institucionales.</t>
  </si>
  <si>
    <t>Alcance y reputación.</t>
  </si>
  <si>
    <t>Mayor validación del proyecto.</t>
  </si>
  <si>
    <t>Factible según el contexto académico.</t>
  </si>
  <si>
    <t>Dirección del proyecto</t>
  </si>
  <si>
    <t>Difusión</t>
  </si>
  <si>
    <t>Formalizar convenios y difundir resultados.</t>
  </si>
  <si>
    <t>PC-110</t>
  </si>
  <si>
    <t>Reconocimiento público o difusión del proyecto.</t>
  </si>
  <si>
    <t>Presentaciones o medios universitarios.</t>
  </si>
  <si>
    <t>Imagen institucional.</t>
  </si>
  <si>
    <t>Mayor visibilidad y validación social.</t>
  </si>
  <si>
    <t>Proyecto con componente social y tecnológico.</t>
  </si>
  <si>
    <t>Difundir avances en plataformas académicas.</t>
  </si>
  <si>
    <t>PC-111</t>
  </si>
  <si>
    <t>Retrasos por descoordinación o sobrecarga.</t>
  </si>
  <si>
    <t>Organizacional</t>
  </si>
  <si>
    <t>Falta de planificación y roles claros.</t>
  </si>
  <si>
    <t>Cronograma.</t>
  </si>
  <si>
    <t>Entregas fuera de plazo.</t>
  </si>
  <si>
    <t>Riesgo típico en equipos múltiples.</t>
  </si>
  <si>
    <t>Gerente del proyecto</t>
  </si>
  <si>
    <t>Durante sprints</t>
  </si>
  <si>
    <t>Redistribuir tareas y reforzar seguimiento semanal.</t>
  </si>
  <si>
    <t>PC-112</t>
  </si>
  <si>
    <t>Ausencia de miembros clave del equipo.</t>
  </si>
  <si>
    <t>Compromisos académicos o personales.</t>
  </si>
  <si>
    <t>Cronograma y calidad.</t>
  </si>
  <si>
    <t>Disminuye la productividad global.</t>
  </si>
  <si>
    <t>Factible según carga universitaria.</t>
  </si>
  <si>
    <t>Plan de respaldo y distribución flexible de tareas.</t>
  </si>
  <si>
    <t>PC-113</t>
  </si>
  <si>
    <t>Comunicación deficiente o sin registro formal.</t>
  </si>
  <si>
    <t>Falta de uso de canales formales.</t>
  </si>
  <si>
    <t>Coordinación y documentación.</t>
  </si>
  <si>
    <t>Duplicación o pérdida de información.</t>
  </si>
  <si>
    <t>Comunicación informal.</t>
  </si>
  <si>
    <t>Permanente</t>
  </si>
  <si>
    <t>Implementar reportes semanales y Notion.</t>
  </si>
  <si>
    <t>PC-114</t>
  </si>
  <si>
    <t>Alta cohesión y compromiso del equipo.</t>
  </si>
  <si>
    <t>Buena coordinación y motivación.</t>
  </si>
  <si>
    <t>Productividad.</t>
  </si>
  <si>
    <t>Reduce errores y mejora desempeño.</t>
  </si>
  <si>
    <t>Observado en el equipo actual.</t>
  </si>
  <si>
    <t>Todos los miembros</t>
  </si>
  <si>
    <t>Continua</t>
  </si>
  <si>
    <t>Reconocimiento interno y feedback positivo.</t>
  </si>
  <si>
    <t>Afecta alimentación de alumnos; tolerancia cero.</t>
  </si>
  <si>
    <t>PC-115</t>
  </si>
  <si>
    <t>Capacitación interna y aprendizaje continuo.</t>
  </si>
  <si>
    <t>Intercambio de conocimientos entre miembros.</t>
  </si>
  <si>
    <t>Eficiencia y calidad del trabajo.</t>
  </si>
  <si>
    <t>Mejora el dominio técnico y previene errores.</t>
  </si>
  <si>
    <t>Fomenta desarrollo conjunto.</t>
  </si>
  <si>
    <t>Registrar y compartir aprendizajes.</t>
  </si>
  <si>
    <t>PC-116</t>
  </si>
  <si>
    <t>Expansión del alcance sin control (scope creep).</t>
  </si>
  <si>
    <t>Dirección de Proyecto</t>
  </si>
  <si>
    <t>Cambios no aprobados o sin planificación.</t>
  </si>
  <si>
    <t>Alcance, cronograma y esfuerzo.</t>
  </si>
  <si>
    <t>Sobrecarga de tareas.</t>
  </si>
  <si>
    <t>Frecuente en proyectos iterativos.</t>
  </si>
  <si>
    <t>Evitar</t>
  </si>
  <si>
    <t>Prevención</t>
  </si>
  <si>
    <t>Validar y documentar cambios de alcance.</t>
  </si>
  <si>
    <t>PC-117</t>
  </si>
  <si>
    <t>Retrasos en cronograma o hitos críticos.</t>
  </si>
  <si>
    <t>Subestimación del esfuerzo o fallas de control.</t>
  </si>
  <si>
    <t>Plazos y entregas.</t>
  </si>
  <si>
    <t>Impacto académico negativo.</t>
  </si>
  <si>
    <t>Riesgo probable por interdependencias.</t>
  </si>
  <si>
    <t>Cada sprint</t>
  </si>
  <si>
    <t>Reajustar cronograma y priorizar entregables.</t>
  </si>
  <si>
    <t>PC-118</t>
  </si>
  <si>
    <t>Falta de seguimiento del plan de riesgos.</t>
  </si>
  <si>
    <t>Falta de control sistemático.</t>
  </si>
  <si>
    <t>Riesgos no gestionados.</t>
  </si>
  <si>
    <t>Reaparición de problemas previos.</t>
  </si>
  <si>
    <t>Puede ocurrir en fases avanzadas.</t>
  </si>
  <si>
    <t>Cada revisión</t>
  </si>
  <si>
    <t>Revisar riesgos en todas las reuniones de control.</t>
  </si>
  <si>
    <t>PC-119</t>
  </si>
  <si>
    <t>Cumplimiento anticipado de entregables.</t>
  </si>
  <si>
    <t>Buena planificación y organización.</t>
  </si>
  <si>
    <t>Cronograma y reputación.</t>
  </si>
  <si>
    <t>Fortalece la imagen del proyecto.</t>
  </si>
  <si>
    <t>Factible por alto compromiso.</t>
  </si>
  <si>
    <t>Último sprint</t>
  </si>
  <si>
    <t>Mantener control de tiempos y comunicar avances.</t>
  </si>
  <si>
    <t>PC-120</t>
  </si>
  <si>
    <t>Creación de procesos y plantillas reutilizables.</t>
  </si>
  <si>
    <t>Documentación y estandarización.</t>
  </si>
  <si>
    <t>Eficiencia y sostenibilidad.</t>
  </si>
  <si>
    <t>Mejora calidad en futuros proyectos.</t>
  </si>
  <si>
    <t>Acción prevista al cierre del proyecto.</t>
  </si>
  <si>
    <t>Cierre</t>
  </si>
  <si>
    <t>Registrar plantillas y compartir con la cátedra.</t>
  </si>
  <si>
    <t>Bajo</t>
  </si>
  <si>
    <t>Baja</t>
  </si>
  <si>
    <t>Riesgo</t>
  </si>
  <si>
    <t>Acción General</t>
  </si>
  <si>
    <t>Acción Específica</t>
  </si>
  <si>
    <t>Responsable</t>
  </si>
  <si>
    <t>Herramientas</t>
  </si>
  <si>
    <t>Falla de seguridad en Supabase o Edge Functions.</t>
  </si>
  <si>
    <t>Fortalecer la seguridad y protección de datos.</t>
  </si>
  <si>
    <t>Revisar políticas RLS, habilitar logs de auditoría, ejecutar pruebas de vulnerabilidad antes de cada despliegue.</t>
  </si>
  <si>
    <t>Supabase Security Policies, Edge Functions Logs, OWASP ZAP, GitHub Actions.</t>
  </si>
  <si>
    <t>Mejorar la interoperabilidad entre módulos.</t>
  </si>
  <si>
    <t>Documentar endpoints, realizar pruebas automatizadas de API y revisión cruzada de código antes de cada merge.</t>
  </si>
  <si>
    <t>Postman, Swagger, GitHub, Vite Test, CI/CD.</t>
  </si>
  <si>
    <t>Optimizar el rendimiento y uso de recursos.</t>
  </si>
  <si>
    <t>Monitorear consultas SQL, implementar caché y ajustar límites de peticiones concurrentes.</t>
  </si>
  <si>
    <t>Supabase Monitor, Vercel Analytics, Lighthouse.</t>
  </si>
  <si>
    <t>Caída o interrupción de servicios externos.</t>
  </si>
  <si>
    <t>Asegurar continuidad operativa.</t>
  </si>
  <si>
    <t>Establecer alertas de estado, crear respaldos locales y plan de contingencia ante interrupciones.</t>
  </si>
  <si>
    <t>UptimeRobot, GitHub Backups, Resend Status API, Notion Plan de Contingencia.</t>
  </si>
  <si>
    <t>Mantener compatibilidad técnica.</t>
  </si>
  <si>
    <t>Monitorear versiones de dependencias, fijar versiones y revisar documentación oficial cada sprint.</t>
  </si>
  <si>
    <t>Dependabot, Supabase Docs, Vercel Changelog.</t>
  </si>
  <si>
    <t>Mejorar la planificación y distribución de tareas.</t>
  </si>
  <si>
    <t>Usar tablero Kanban y establecer revisiones semanales de progreso.</t>
  </si>
  <si>
    <t>Notion, GitHub Projects, Google Calendar.</t>
  </si>
  <si>
    <t>Garantizar continuidad de actividades.</t>
  </si>
  <si>
    <t>Mantener respaldo de tareas, capacitar miembros en roles cruzados.</t>
  </si>
  <si>
    <t>Notion Roles, Documentación compartida.</t>
  </si>
  <si>
    <t>Estandarizar la comunicación y seguimiento.</t>
  </si>
  <si>
    <t>Crear canal oficial de comunicación y registro de acuerdos por sprint.</t>
  </si>
  <si>
    <t>Notion, Google Chat, GitHub Issues.</t>
  </si>
  <si>
    <t>Controlar cambios y requerimientos.</t>
  </si>
  <si>
    <t>Documentar solicitudes y aprobar solo con validación del patrocinador académico.</t>
  </si>
  <si>
    <t>Control de Cambios (Notion), Formulario de Solicitud, GitHub Issues.</t>
  </si>
  <si>
    <t>Reforzar la gestión del tiempo.</t>
  </si>
  <si>
    <t>Crear cronograma con dependencias, alertas de entregas y revisiones semanales.</t>
  </si>
  <si>
    <t>Gantt Notion, Google Calendar, GitHub Milestones.</t>
  </si>
  <si>
    <t>Incorporar control de riesgos en reuniones regulares.</t>
  </si>
  <si>
    <t>Revisar registro en cada sprint y actualizar estado de mitigaciones.</t>
  </si>
  <si>
    <t>Registro de Riesgos (Notion), Matriz P×I.</t>
  </si>
  <si>
    <t>Optimización del rendimiento general.</t>
  </si>
  <si>
    <t>Consolidar buenas prácticas de desarrollo.</t>
  </si>
  <si>
    <t>Aplicar refactorización planificada y documentar mejoras para otros módulos.</t>
  </si>
  <si>
    <t>GitHub, Supabase Monitor, Vercel Analytics.</t>
  </si>
  <si>
    <t>Potenciar relaciones externas.</t>
  </si>
  <si>
    <t>Elaborar acuerdos simples de colaboración y difundir resultados del piloto.</t>
  </si>
  <si>
    <t>Documentos MOU, Google Drive, correo institucional.</t>
  </si>
  <si>
    <t>Aumentar la visibilidad del sistema.</t>
  </si>
  <si>
    <t>Presentar el proyecto en seminarios o ferias tecnológicas.</t>
  </si>
  <si>
    <t>Redes UFT, LinkedIn, Presentaciones PowerPoint.</t>
  </si>
  <si>
    <t>Mantener la motivación y comunicación efectiva.</t>
  </si>
  <si>
    <t>Reconocer logros, establecer espacios de retroalimentación positiva.</t>
  </si>
  <si>
    <t>Reuniones de Retrospectiva, Notion Feedback.</t>
  </si>
  <si>
    <t>Fomentar el aprendizaje colaborativo.</t>
  </si>
  <si>
    <t>Programar microcapacitaciones internas (seguridad, pruebas, analítica).</t>
  </si>
  <si>
    <t>Google Meet, Notion Wiki, Recursos Certiprof.</t>
  </si>
  <si>
    <t>Aprovechar eficiencia para mejoras adicionales.</t>
  </si>
  <si>
    <t>Reasignar tiempo a optimización o documentación.</t>
  </si>
  <si>
    <t>Cronograma Notion, Repositorio GitHub.</t>
  </si>
  <si>
    <t>Estandarizar documentación y prácticas.</t>
  </si>
  <si>
    <t>Diseñar plantillas para informes, control de sprint y riesgos.</t>
  </si>
  <si>
    <t>Notion, Google Docs, Plantillas UFT.</t>
  </si>
  <si>
    <t>Validar el módulo analítico y documentar resultados.</t>
  </si>
  <si>
    <t>Testear modelo con dataset de prueba y validar segmentos generados.</t>
  </si>
  <si>
    <t>Jupyter / Python, Supabase Data, Excel Reports.</t>
  </si>
  <si>
    <t>Reducir impacto operativo.</t>
  </si>
  <si>
    <t>Usar almacenamiento en la nube y coordinar trabajo offline.</t>
  </si>
  <si>
    <t>Google Drive Offline, Notion Sync, GitHub Local.</t>
  </si>
  <si>
    <t>KRI</t>
  </si>
  <si>
    <t>Fórmula de Cálculo</t>
  </si>
  <si>
    <t>Frecuencia de Monitoreo</t>
  </si>
  <si>
    <t>Valor actual</t>
  </si>
  <si>
    <t>Umbral</t>
  </si>
  <si>
    <t>Estado</t>
  </si>
  <si>
    <t>Acción sugerida</t>
  </si>
  <si>
    <t>Informe breve</t>
  </si>
  <si>
    <t>Falla de autenticación o exposición de datos sensibles</t>
  </si>
  <si>
    <t>% de pruebas de seguridad fallidas</t>
  </si>
  <si>
    <t>(N° de pruebas con vulnerabilidades / N° total de pruebas) × 100</t>
  </si>
  <si>
    <t>Mensual</t>
  </si>
  <si>
    <t xml:space="preserve"> &lt;5% /  5–10% /  &gt;10%</t>
  </si>
  <si>
    <t>Revisar configuración RLS y auditorías automáticas.</t>
  </si>
  <si>
    <t>Supabase Logs, OWASP ZAP, GitHub Actions.</t>
  </si>
  <si>
    <t>Interrupción de servicios externos (Vercel, Resend, Supabase)</t>
  </si>
  <si>
    <t>% de disponibilidad del sistema</t>
  </si>
  <si>
    <t>(Horas operativas / Horas totales) × 100</t>
  </si>
  <si>
    <t>Semanal</t>
  </si>
  <si>
    <t xml:space="preserve"> ≥99.5% /  98–99.4% /  &lt;98%</t>
  </si>
  <si>
    <t>Activar respaldo o cambiar proveedor si persiste.</t>
  </si>
  <si>
    <t>DevOps</t>
  </si>
  <si>
    <t>UptimeRobot, Vercel Monitor.</t>
  </si>
  <si>
    <t>Retrasos en entregas de sprint</t>
  </si>
  <si>
    <t>% de tareas con retraso &gt;2 días</t>
  </si>
  <si>
    <t>(Tareas retrasadas / Tareas totales) × 100</t>
  </si>
  <si>
    <t>Reasignar prioridades y reforzar revisión diaria.</t>
  </si>
  <si>
    <t>Gerente de proyecto</t>
  </si>
  <si>
    <t>GitHub Projects, Notion Kanban.</t>
  </si>
  <si>
    <t>Errores en integración o despliegue</t>
  </si>
  <si>
    <t>N° de errores en pruebas de integración</t>
  </si>
  <si>
    <t>Conteo de fallas registradas en CI/CD</t>
  </si>
  <si>
    <t>Por sprint</t>
  </si>
  <si>
    <t xml:space="preserve"> &lt;2 /  2–4 /  &gt;4</t>
  </si>
  <si>
    <t>Validar endpoints y revisar test automáticos.</t>
  </si>
  <si>
    <t>GitHub Actions, Postman CI.</t>
  </si>
  <si>
    <t>Comunicación deficiente o sin registro formal</t>
  </si>
  <si>
    <t>% de reuniones sin minuta registrada</t>
  </si>
  <si>
    <t>(Reuniones sin acta / Total de reuniones) × 100</t>
  </si>
  <si>
    <t xml:space="preserve"> &lt;10% /  10–20% /  &gt;20%</t>
  </si>
  <si>
    <t>Implementar formato obligatorio de minutas.</t>
  </si>
  <si>
    <t>Notion, Google Drive.</t>
  </si>
  <si>
    <t>Ausencia de miembros del equipo</t>
  </si>
  <si>
    <t>% de ausencias no cubiertas</t>
  </si>
  <si>
    <t>(N° de ausencias sin reemplazo / N° total de ausencias) × 100</t>
  </si>
  <si>
    <t>Quincenal</t>
  </si>
  <si>
    <t xml:space="preserve"> &lt;10% /  10–25% /  &gt;25%</t>
  </si>
  <si>
    <t>Asignar roles de respaldo en el equipo.</t>
  </si>
  <si>
    <t>Notion Roles, Google Calendar.</t>
  </si>
  <si>
    <t>Expansión del alcance (scope creep)</t>
  </si>
  <si>
    <t>% de cambios no aprobados</t>
  </si>
  <si>
    <t>(Cambios no validados / Cambios totales) × 100</t>
  </si>
  <si>
    <t xml:space="preserve"> =0% /  1–10% /  &gt;10%</t>
  </si>
  <si>
    <t>Mantener control de cambios con validación académica.</t>
  </si>
  <si>
    <t>Formulario de cambios, Notion.</t>
  </si>
  <si>
    <t>Disponibilidad de notificaciones automáticas (Resend)</t>
  </si>
  <si>
    <t>% de notificaciones entregadas correctamente</t>
  </si>
  <si>
    <t>(Enviadas – fallidas / Enviadas) × 100</t>
  </si>
  <si>
    <t>Diario</t>
  </si>
  <si>
    <t xml:space="preserve"> ≥98% /  95–97% /  &lt;95%</t>
  </si>
  <si>
    <t>Revisar logs de Resend y programar reintentos automáticos.</t>
  </si>
  <si>
    <t>Responsable de comunicaciones</t>
  </si>
  <si>
    <t>Resend Dashboard, Logs API.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</si>
</sst>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Century Gothic"/>
    </font>
    <font>
      <color theme="1"/>
      <name val="Century Gothic"/>
    </font>
    <font>
      <b/>
      <color rgb="FFFFFFFF"/>
      <name val="Century Gothic"/>
    </font>
    <font>
      <sz val="9.0"/>
      <color theme="1"/>
      <name val="Century Gothic"/>
    </font>
    <font>
      <sz val="11.0"/>
      <color theme="1"/>
      <name val="Century Gothic"/>
    </font>
    <font>
      <b/>
      <color theme="1"/>
      <name val="Arial"/>
      <scheme val="minor"/>
    </font>
    <font>
      <b/>
      <color theme="1"/>
      <name val="Century Gothic"/>
    </font>
    <font/>
    <font>
      <b/>
      <color theme="1"/>
      <name val="Arial"/>
    </font>
    <font>
      <color rgb="FFFFFFFF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FFCC99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shrinkToFit="0" wrapText="1"/>
    </xf>
    <xf borderId="2" fillId="3" fontId="3" numFmtId="0" xfId="0" applyAlignment="1" applyBorder="1" applyFont="1">
      <alignment horizontal="center" shrinkToFit="0" wrapText="1"/>
    </xf>
    <xf borderId="2" fillId="3" fontId="3" numFmtId="0" xfId="0" applyAlignment="1" applyBorder="1" applyFont="1">
      <alignment horizontal="center" readingOrder="0" shrinkToFit="0" wrapText="1"/>
    </xf>
    <xf borderId="2" fillId="2" fontId="3" numFmtId="0" xfId="0" applyAlignment="1" applyBorder="1" applyFont="1">
      <alignment horizontal="right" readingOrder="0" shrinkToFit="0" wrapText="1"/>
    </xf>
    <xf borderId="2" fillId="2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 shrinkToFit="0" wrapText="1"/>
    </xf>
    <xf borderId="2" fillId="4" fontId="4" numFmtId="0" xfId="0" applyAlignment="1" applyBorder="1" applyFill="1" applyFont="1">
      <alignment horizontal="center" readingOrder="0" shrinkToFit="0" wrapText="1"/>
    </xf>
    <xf borderId="2" fillId="2" fontId="3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3" fillId="5" fontId="8" numFmtId="0" xfId="0" applyAlignment="1" applyBorder="1" applyFill="1" applyFont="1">
      <alignment horizontal="center" shrinkToFit="0" wrapText="1"/>
    </xf>
    <xf borderId="4" fillId="0" fontId="9" numFmtId="0" xfId="0" applyBorder="1" applyFont="1"/>
    <xf borderId="5" fillId="0" fontId="9" numFmtId="0" xfId="0" applyBorder="1" applyFont="1"/>
    <xf borderId="6" fillId="2" fontId="1" numFmtId="0" xfId="0" applyBorder="1" applyFont="1"/>
    <xf borderId="7" fillId="3" fontId="10" numFmtId="0" xfId="0" applyAlignment="1" applyBorder="1" applyFont="1">
      <alignment horizontal="center" shrinkToFit="0" wrapText="1"/>
    </xf>
    <xf borderId="8" fillId="0" fontId="9" numFmtId="0" xfId="0" applyBorder="1" applyFont="1"/>
    <xf borderId="9" fillId="0" fontId="9" numFmtId="0" xfId="0" applyBorder="1" applyFont="1"/>
    <xf borderId="1" fillId="2" fontId="1" numFmtId="0" xfId="0" applyBorder="1" applyFont="1"/>
    <xf borderId="2" fillId="3" fontId="1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shrinkToFit="0" wrapText="1"/>
    </xf>
    <xf borderId="10" fillId="3" fontId="10" numFmtId="0" xfId="0" applyAlignment="1" applyBorder="1" applyFont="1">
      <alignment horizontal="center" shrinkToFit="0" textRotation="90" wrapText="1"/>
    </xf>
    <xf borderId="2" fillId="6" fontId="11" numFmtId="0" xfId="0" applyAlignment="1" applyBorder="1" applyFill="1" applyFont="1">
      <alignment horizontal="center" shrinkToFit="0" wrapText="1"/>
    </xf>
    <xf borderId="2" fillId="7" fontId="1" numFmtId="0" xfId="0" applyAlignment="1" applyBorder="1" applyFill="1" applyFont="1">
      <alignment horizontal="center" shrinkToFit="0" wrapText="1"/>
    </xf>
    <xf borderId="11" fillId="0" fontId="9" numFmtId="0" xfId="0" applyBorder="1" applyFont="1"/>
    <xf borderId="2" fillId="4" fontId="11" numFmtId="0" xfId="0" applyAlignment="1" applyBorder="1" applyFont="1">
      <alignment horizontal="center" shrinkToFit="0" wrapText="1"/>
    </xf>
    <xf borderId="12" fillId="0" fontId="9" numFmtId="0" xfId="0" applyBorder="1" applyFont="1"/>
    <xf borderId="13" fillId="2" fontId="1" numFmtId="0" xfId="0" applyBorder="1" applyFont="1"/>
    <xf borderId="14" fillId="2" fontId="1" numFmtId="0" xfId="0" applyBorder="1" applyFont="1"/>
    <xf borderId="15" fillId="2" fontId="1" numFmtId="0" xfId="0" applyBorder="1" applyFont="1"/>
    <xf borderId="16" fillId="8" fontId="7" numFmtId="0" xfId="0" applyAlignment="1" applyBorder="1" applyFill="1" applyFont="1">
      <alignment horizontal="center" readingOrder="0" shrinkToFit="0" vertical="center" wrapText="1"/>
    </xf>
    <xf borderId="17" fillId="8" fontId="7" numFmtId="0" xfId="0" applyAlignment="1" applyBorder="1" applyFont="1">
      <alignment horizontal="center" readingOrder="0" shrinkToFit="0" vertical="center" wrapText="1"/>
    </xf>
    <xf borderId="18" fillId="8" fontId="7" numFmtId="0" xfId="0" applyAlignment="1" applyBorder="1" applyFont="1">
      <alignment horizontal="center" readingOrder="0" shrinkToFit="0" vertical="center" wrapText="1"/>
    </xf>
    <xf borderId="19" fillId="0" fontId="12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readingOrder="0" shrinkToFit="0" wrapText="1"/>
    </xf>
    <xf borderId="20" fillId="0" fontId="12" numFmtId="0" xfId="0" applyAlignment="1" applyBorder="1" applyFont="1">
      <alignment readingOrder="0" shrinkToFit="0" wrapText="1"/>
    </xf>
    <xf borderId="21" fillId="0" fontId="12" numFmtId="0" xfId="0" applyAlignment="1" applyBorder="1" applyFont="1">
      <alignment readingOrder="0" shrinkToFit="0" wrapText="1"/>
    </xf>
    <xf borderId="10" fillId="0" fontId="12" numFmtId="0" xfId="0" applyAlignment="1" applyBorder="1" applyFont="1">
      <alignment readingOrder="0" shrinkToFit="0" wrapText="1"/>
    </xf>
    <xf borderId="22" fillId="0" fontId="12" numFmtId="0" xfId="0" applyAlignment="1" applyBorder="1" applyFont="1">
      <alignment readingOrder="0" shrinkToFit="0" wrapText="1"/>
    </xf>
    <xf borderId="23" fillId="0" fontId="12" numFmtId="0" xfId="0" applyAlignment="1" applyBorder="1" applyFont="1">
      <alignment readingOrder="0" shrinkToFit="0" wrapText="1"/>
    </xf>
    <xf borderId="24" fillId="0" fontId="12" numFmtId="0" xfId="0" applyAlignment="1" applyBorder="1" applyFont="1">
      <alignment readingOrder="0" shrinkToFit="0" wrapText="1"/>
    </xf>
    <xf borderId="25" fillId="0" fontId="12" numFmtId="0" xfId="0" applyAlignment="1" applyBorder="1" applyFont="1">
      <alignment readingOrder="0" shrinkToFit="0" wrapText="1"/>
    </xf>
    <xf borderId="16" fillId="9" fontId="7" numFmtId="0" xfId="0" applyAlignment="1" applyBorder="1" applyFill="1" applyFont="1">
      <alignment horizontal="center" readingOrder="0" vertical="center"/>
    </xf>
    <xf borderId="17" fillId="9" fontId="7" numFmtId="0" xfId="0" applyAlignment="1" applyBorder="1" applyFont="1">
      <alignment horizontal="center" readingOrder="0" vertical="center"/>
    </xf>
    <xf borderId="17" fillId="9" fontId="7" numFmtId="0" xfId="0" applyAlignment="1" applyBorder="1" applyFont="1">
      <alignment horizontal="center" readingOrder="0" shrinkToFit="0" vertical="center" wrapText="1"/>
    </xf>
    <xf borderId="18" fillId="9" fontId="7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2" fillId="0" fontId="12" numFmtId="0" xfId="0" applyAlignment="1" applyBorder="1" applyFont="1">
      <alignment readingOrder="0"/>
    </xf>
    <xf borderId="10" fillId="0" fontId="12" numFmtId="0" xfId="0" applyAlignment="1" applyBorder="1" applyFont="1">
      <alignment horizontal="center" readingOrder="0"/>
    </xf>
    <xf borderId="10" fillId="0" fontId="12" numFmtId="0" xfId="0" applyAlignment="1" applyBorder="1" applyFont="1">
      <alignment readingOrder="0"/>
    </xf>
    <xf borderId="24" fillId="0" fontId="12" numFmtId="0" xfId="0" applyAlignment="1" applyBorder="1" applyFont="1">
      <alignment horizontal="center" readingOrder="0"/>
    </xf>
    <xf borderId="24" fillId="0" fontId="12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88"/>
    <col customWidth="1" min="11" max="11" width="25.88"/>
    <col customWidth="1" min="19" max="19" width="49.88"/>
    <col customWidth="1" min="23" max="23" width="23.88"/>
  </cols>
  <sheetData>
    <row r="2"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>
      <c r="B4" s="6" t="s">
        <v>23</v>
      </c>
      <c r="C4" s="7" t="s">
        <v>24</v>
      </c>
      <c r="D4" s="7" t="s">
        <v>25</v>
      </c>
      <c r="E4" s="7" t="s">
        <v>26</v>
      </c>
      <c r="F4" s="8" t="s">
        <v>27</v>
      </c>
      <c r="G4" s="8" t="s">
        <v>28</v>
      </c>
      <c r="H4" s="7" t="s">
        <v>29</v>
      </c>
      <c r="I4" s="8" t="s">
        <v>30</v>
      </c>
      <c r="J4" s="8">
        <v>3.0</v>
      </c>
      <c r="K4" s="8" t="s">
        <v>31</v>
      </c>
      <c r="L4" s="8" t="s">
        <v>30</v>
      </c>
      <c r="M4" s="8">
        <v>3.0</v>
      </c>
      <c r="N4" s="9">
        <f t="shared" ref="N4:N23" si="1">J4*M4</f>
        <v>9</v>
      </c>
      <c r="O4" s="10" t="s">
        <v>32</v>
      </c>
      <c r="P4" s="10" t="s">
        <v>33</v>
      </c>
      <c r="Q4" s="8" t="s">
        <v>34</v>
      </c>
      <c r="R4" s="8" t="s">
        <v>35</v>
      </c>
      <c r="S4" s="8" t="s">
        <v>36</v>
      </c>
      <c r="T4" s="8" t="s">
        <v>37</v>
      </c>
      <c r="U4" s="8" t="s">
        <v>38</v>
      </c>
      <c r="V4" s="8" t="s">
        <v>38</v>
      </c>
      <c r="W4" s="8" t="s">
        <v>39</v>
      </c>
    </row>
    <row r="5">
      <c r="B5" s="6" t="s">
        <v>40</v>
      </c>
      <c r="C5" s="7" t="s">
        <v>41</v>
      </c>
      <c r="D5" s="7" t="s">
        <v>25</v>
      </c>
      <c r="E5" s="7" t="s">
        <v>42</v>
      </c>
      <c r="F5" s="8" t="s">
        <v>43</v>
      </c>
      <c r="G5" s="8" t="s">
        <v>44</v>
      </c>
      <c r="H5" s="7" t="s">
        <v>29</v>
      </c>
      <c r="I5" s="8" t="s">
        <v>45</v>
      </c>
      <c r="J5" s="8">
        <v>2.0</v>
      </c>
      <c r="K5" s="8" t="s">
        <v>46</v>
      </c>
      <c r="L5" s="8" t="s">
        <v>30</v>
      </c>
      <c r="M5" s="8">
        <v>3.0</v>
      </c>
      <c r="N5" s="9">
        <f t="shared" si="1"/>
        <v>6</v>
      </c>
      <c r="O5" s="10" t="s">
        <v>32</v>
      </c>
      <c r="P5" s="10" t="s">
        <v>47</v>
      </c>
      <c r="Q5" s="8" t="s">
        <v>48</v>
      </c>
      <c r="R5" s="8" t="s">
        <v>35</v>
      </c>
      <c r="S5" s="8" t="s">
        <v>49</v>
      </c>
      <c r="T5" s="8" t="s">
        <v>38</v>
      </c>
      <c r="U5" s="8" t="s">
        <v>50</v>
      </c>
      <c r="V5" s="8" t="s">
        <v>50</v>
      </c>
      <c r="W5" s="8" t="s">
        <v>51</v>
      </c>
    </row>
    <row r="6">
      <c r="B6" s="6" t="s">
        <v>52</v>
      </c>
      <c r="C6" s="7" t="s">
        <v>53</v>
      </c>
      <c r="D6" s="7" t="s">
        <v>25</v>
      </c>
      <c r="E6" s="7" t="s">
        <v>54</v>
      </c>
      <c r="F6" s="8" t="s">
        <v>55</v>
      </c>
      <c r="G6" s="8" t="s">
        <v>56</v>
      </c>
      <c r="H6" s="7" t="s">
        <v>29</v>
      </c>
      <c r="I6" s="8" t="s">
        <v>45</v>
      </c>
      <c r="J6" s="8">
        <v>2.0</v>
      </c>
      <c r="K6" s="11" t="s">
        <v>57</v>
      </c>
      <c r="L6" s="8" t="s">
        <v>58</v>
      </c>
      <c r="M6" s="8">
        <v>2.0</v>
      </c>
      <c r="N6" s="9">
        <f t="shared" si="1"/>
        <v>4</v>
      </c>
      <c r="O6" s="10" t="s">
        <v>32</v>
      </c>
      <c r="P6" s="10" t="s">
        <v>59</v>
      </c>
      <c r="Q6" s="8" t="s">
        <v>60</v>
      </c>
      <c r="R6" s="8" t="s">
        <v>35</v>
      </c>
      <c r="S6" s="8" t="s">
        <v>61</v>
      </c>
      <c r="T6" s="8" t="s">
        <v>50</v>
      </c>
      <c r="U6" s="8" t="s">
        <v>50</v>
      </c>
      <c r="V6" s="8" t="s">
        <v>50</v>
      </c>
      <c r="W6" s="8" t="s">
        <v>62</v>
      </c>
    </row>
    <row r="7">
      <c r="B7" s="6" t="s">
        <v>63</v>
      </c>
      <c r="C7" s="7" t="s">
        <v>64</v>
      </c>
      <c r="D7" s="7" t="s">
        <v>25</v>
      </c>
      <c r="E7" s="7" t="s">
        <v>65</v>
      </c>
      <c r="F7" s="8" t="s">
        <v>66</v>
      </c>
      <c r="G7" s="8" t="s">
        <v>67</v>
      </c>
      <c r="H7" s="7" t="s">
        <v>68</v>
      </c>
      <c r="I7" s="8" t="s">
        <v>45</v>
      </c>
      <c r="J7" s="8">
        <v>2.0</v>
      </c>
      <c r="K7" s="11" t="s">
        <v>69</v>
      </c>
      <c r="L7" s="8" t="s">
        <v>30</v>
      </c>
      <c r="M7" s="8">
        <v>3.0</v>
      </c>
      <c r="N7" s="9">
        <f t="shared" si="1"/>
        <v>6</v>
      </c>
      <c r="O7" s="10" t="s">
        <v>70</v>
      </c>
      <c r="P7" s="10" t="s">
        <v>71</v>
      </c>
      <c r="Q7" s="8" t="s">
        <v>72</v>
      </c>
      <c r="R7" s="8" t="s">
        <v>73</v>
      </c>
      <c r="S7" s="8" t="s">
        <v>74</v>
      </c>
      <c r="T7" s="8" t="s">
        <v>37</v>
      </c>
      <c r="U7" s="8" t="s">
        <v>38</v>
      </c>
      <c r="V7" s="8" t="s">
        <v>50</v>
      </c>
      <c r="W7" s="8" t="s">
        <v>75</v>
      </c>
    </row>
    <row r="8">
      <c r="B8" s="6" t="s">
        <v>76</v>
      </c>
      <c r="C8" s="7" t="s">
        <v>77</v>
      </c>
      <c r="D8" s="7" t="s">
        <v>25</v>
      </c>
      <c r="E8" s="7" t="s">
        <v>78</v>
      </c>
      <c r="F8" s="8" t="s">
        <v>79</v>
      </c>
      <c r="G8" s="8" t="s">
        <v>80</v>
      </c>
      <c r="H8" s="7" t="s">
        <v>68</v>
      </c>
      <c r="I8" s="8" t="s">
        <v>30</v>
      </c>
      <c r="J8" s="8">
        <v>3.0</v>
      </c>
      <c r="K8" s="11" t="s">
        <v>81</v>
      </c>
      <c r="L8" s="8" t="s">
        <v>58</v>
      </c>
      <c r="M8" s="8">
        <v>2.0</v>
      </c>
      <c r="N8" s="9">
        <f t="shared" si="1"/>
        <v>6</v>
      </c>
      <c r="O8" s="10" t="s">
        <v>82</v>
      </c>
      <c r="P8" s="10" t="s">
        <v>83</v>
      </c>
      <c r="Q8" s="8" t="s">
        <v>84</v>
      </c>
      <c r="R8" s="8" t="s">
        <v>73</v>
      </c>
      <c r="S8" s="8" t="s">
        <v>85</v>
      </c>
      <c r="T8" s="8" t="s">
        <v>37</v>
      </c>
      <c r="U8" s="8" t="s">
        <v>38</v>
      </c>
      <c r="V8" s="8" t="s">
        <v>50</v>
      </c>
      <c r="W8" s="8" t="s">
        <v>86</v>
      </c>
    </row>
    <row r="9">
      <c r="B9" s="6" t="s">
        <v>87</v>
      </c>
      <c r="C9" s="7" t="s">
        <v>88</v>
      </c>
      <c r="D9" s="7" t="s">
        <v>89</v>
      </c>
      <c r="E9" s="7" t="s">
        <v>90</v>
      </c>
      <c r="F9" s="8" t="s">
        <v>91</v>
      </c>
      <c r="G9" s="8" t="s">
        <v>92</v>
      </c>
      <c r="H9" s="7" t="s">
        <v>29</v>
      </c>
      <c r="I9" s="8" t="s">
        <v>30</v>
      </c>
      <c r="J9" s="8">
        <v>3.0</v>
      </c>
      <c r="K9" s="11" t="s">
        <v>93</v>
      </c>
      <c r="L9" s="8" t="s">
        <v>58</v>
      </c>
      <c r="M9" s="8">
        <v>2.0</v>
      </c>
      <c r="N9" s="9">
        <f t="shared" si="1"/>
        <v>6</v>
      </c>
      <c r="O9" s="10" t="s">
        <v>32</v>
      </c>
      <c r="P9" s="10" t="s">
        <v>94</v>
      </c>
      <c r="Q9" s="8" t="s">
        <v>95</v>
      </c>
      <c r="R9" s="8" t="s">
        <v>35</v>
      </c>
      <c r="S9" s="8" t="s">
        <v>96</v>
      </c>
      <c r="T9" s="8" t="s">
        <v>38</v>
      </c>
      <c r="U9" s="8" t="s">
        <v>38</v>
      </c>
      <c r="V9" s="8" t="s">
        <v>50</v>
      </c>
      <c r="W9" s="8" t="s">
        <v>97</v>
      </c>
    </row>
    <row r="10">
      <c r="B10" s="6" t="s">
        <v>98</v>
      </c>
      <c r="C10" s="7" t="s">
        <v>99</v>
      </c>
      <c r="D10" s="7" t="s">
        <v>89</v>
      </c>
      <c r="E10" s="7" t="s">
        <v>100</v>
      </c>
      <c r="F10" s="8" t="s">
        <v>43</v>
      </c>
      <c r="G10" s="8" t="s">
        <v>101</v>
      </c>
      <c r="H10" s="7" t="s">
        <v>29</v>
      </c>
      <c r="I10" s="8" t="s">
        <v>45</v>
      </c>
      <c r="J10" s="8">
        <v>2.0</v>
      </c>
      <c r="K10" s="11" t="s">
        <v>102</v>
      </c>
      <c r="L10" s="8" t="s">
        <v>30</v>
      </c>
      <c r="M10" s="8">
        <v>3.0</v>
      </c>
      <c r="N10" s="9">
        <f t="shared" si="1"/>
        <v>6</v>
      </c>
      <c r="O10" s="10" t="s">
        <v>32</v>
      </c>
      <c r="P10" s="10" t="s">
        <v>59</v>
      </c>
      <c r="Q10" s="8" t="s">
        <v>103</v>
      </c>
      <c r="R10" s="12" t="s">
        <v>35</v>
      </c>
      <c r="S10" s="8" t="s">
        <v>104</v>
      </c>
      <c r="T10" s="8" t="s">
        <v>37</v>
      </c>
      <c r="U10" s="8" t="s">
        <v>38</v>
      </c>
      <c r="V10" s="8" t="s">
        <v>50</v>
      </c>
      <c r="W10" s="8" t="s">
        <v>105</v>
      </c>
    </row>
    <row r="11">
      <c r="B11" s="6" t="s">
        <v>106</v>
      </c>
      <c r="C11" s="7" t="s">
        <v>107</v>
      </c>
      <c r="D11" s="7" t="s">
        <v>89</v>
      </c>
      <c r="E11" s="7" t="s">
        <v>108</v>
      </c>
      <c r="F11" s="8" t="s">
        <v>109</v>
      </c>
      <c r="G11" s="8" t="s">
        <v>110</v>
      </c>
      <c r="H11" s="7" t="s">
        <v>29</v>
      </c>
      <c r="I11" s="8" t="s">
        <v>45</v>
      </c>
      <c r="J11" s="8">
        <v>2.0</v>
      </c>
      <c r="K11" s="11" t="s">
        <v>111</v>
      </c>
      <c r="L11" s="8" t="s">
        <v>58</v>
      </c>
      <c r="M11" s="8">
        <v>2.0</v>
      </c>
      <c r="N11" s="9">
        <f t="shared" si="1"/>
        <v>4</v>
      </c>
      <c r="O11" s="10" t="s">
        <v>112</v>
      </c>
      <c r="P11" s="10" t="s">
        <v>113</v>
      </c>
      <c r="Q11" s="8" t="s">
        <v>114</v>
      </c>
      <c r="R11" s="12" t="s">
        <v>115</v>
      </c>
      <c r="S11" s="8" t="s">
        <v>116</v>
      </c>
      <c r="T11" s="8"/>
      <c r="U11" s="8"/>
      <c r="V11" s="8"/>
      <c r="W11" s="8"/>
    </row>
    <row r="12">
      <c r="B12" s="6" t="s">
        <v>117</v>
      </c>
      <c r="C12" s="7" t="s">
        <v>118</v>
      </c>
      <c r="D12" s="7" t="s">
        <v>89</v>
      </c>
      <c r="E12" s="7" t="s">
        <v>119</v>
      </c>
      <c r="F12" s="8" t="s">
        <v>120</v>
      </c>
      <c r="G12" s="8" t="s">
        <v>121</v>
      </c>
      <c r="H12" s="7" t="s">
        <v>68</v>
      </c>
      <c r="I12" s="8" t="s">
        <v>45</v>
      </c>
      <c r="J12" s="8">
        <v>2.0</v>
      </c>
      <c r="K12" s="11" t="s">
        <v>122</v>
      </c>
      <c r="L12" s="8" t="s">
        <v>30</v>
      </c>
      <c r="M12" s="8">
        <v>3.0</v>
      </c>
      <c r="N12" s="9">
        <f t="shared" si="1"/>
        <v>6</v>
      </c>
      <c r="O12" s="10" t="s">
        <v>70</v>
      </c>
      <c r="P12" s="10" t="s">
        <v>123</v>
      </c>
      <c r="Q12" s="8" t="s">
        <v>124</v>
      </c>
      <c r="R12" s="12" t="s">
        <v>73</v>
      </c>
      <c r="S12" s="8" t="s">
        <v>125</v>
      </c>
      <c r="T12" s="8"/>
      <c r="U12" s="8"/>
      <c r="V12" s="8"/>
      <c r="W12" s="8"/>
    </row>
    <row r="13">
      <c r="B13" s="6" t="s">
        <v>126</v>
      </c>
      <c r="C13" s="7" t="s">
        <v>127</v>
      </c>
      <c r="D13" s="7" t="s">
        <v>89</v>
      </c>
      <c r="E13" s="7" t="s">
        <v>128</v>
      </c>
      <c r="F13" s="8" t="s">
        <v>129</v>
      </c>
      <c r="G13" s="8" t="s">
        <v>130</v>
      </c>
      <c r="H13" s="7" t="s">
        <v>68</v>
      </c>
      <c r="I13" s="8" t="s">
        <v>45</v>
      </c>
      <c r="J13" s="8">
        <v>2.0</v>
      </c>
      <c r="K13" s="11" t="s">
        <v>131</v>
      </c>
      <c r="L13" s="8" t="s">
        <v>58</v>
      </c>
      <c r="M13" s="8">
        <v>2.0</v>
      </c>
      <c r="N13" s="9">
        <f t="shared" si="1"/>
        <v>4</v>
      </c>
      <c r="O13" s="10" t="s">
        <v>70</v>
      </c>
      <c r="P13" s="10" t="s">
        <v>123</v>
      </c>
      <c r="Q13" s="8" t="s">
        <v>124</v>
      </c>
      <c r="R13" s="12" t="s">
        <v>73</v>
      </c>
      <c r="S13" s="8" t="s">
        <v>132</v>
      </c>
      <c r="T13" s="8"/>
      <c r="U13" s="8"/>
      <c r="V13" s="8"/>
      <c r="W13" s="8"/>
    </row>
    <row r="14">
      <c r="B14" s="6" t="s">
        <v>133</v>
      </c>
      <c r="C14" s="7" t="s">
        <v>134</v>
      </c>
      <c r="D14" s="7" t="s">
        <v>135</v>
      </c>
      <c r="E14" s="7" t="s">
        <v>136</v>
      </c>
      <c r="F14" s="8" t="s">
        <v>137</v>
      </c>
      <c r="G14" s="8" t="s">
        <v>138</v>
      </c>
      <c r="H14" s="7" t="s">
        <v>29</v>
      </c>
      <c r="I14" s="8" t="s">
        <v>30</v>
      </c>
      <c r="J14" s="8">
        <v>3.0</v>
      </c>
      <c r="K14" s="11" t="s">
        <v>139</v>
      </c>
      <c r="L14" s="8" t="s">
        <v>58</v>
      </c>
      <c r="M14" s="8">
        <v>2.0</v>
      </c>
      <c r="N14" s="9">
        <f t="shared" si="1"/>
        <v>6</v>
      </c>
      <c r="O14" s="10" t="s">
        <v>32</v>
      </c>
      <c r="P14" s="10" t="s">
        <v>140</v>
      </c>
      <c r="Q14" s="8" t="s">
        <v>141</v>
      </c>
      <c r="R14" s="12" t="s">
        <v>35</v>
      </c>
      <c r="S14" s="8" t="s">
        <v>142</v>
      </c>
      <c r="T14" s="8"/>
      <c r="U14" s="8"/>
      <c r="V14" s="8"/>
      <c r="W14" s="8"/>
    </row>
    <row r="15">
      <c r="B15" s="6" t="s">
        <v>143</v>
      </c>
      <c r="C15" s="7" t="s">
        <v>144</v>
      </c>
      <c r="D15" s="7" t="s">
        <v>135</v>
      </c>
      <c r="E15" s="7" t="s">
        <v>145</v>
      </c>
      <c r="F15" s="8" t="s">
        <v>146</v>
      </c>
      <c r="G15" s="8" t="s">
        <v>147</v>
      </c>
      <c r="H15" s="7" t="s">
        <v>29</v>
      </c>
      <c r="I15" s="8" t="s">
        <v>45</v>
      </c>
      <c r="J15" s="8">
        <v>2.0</v>
      </c>
      <c r="K15" s="11" t="s">
        <v>148</v>
      </c>
      <c r="L15" s="8" t="s">
        <v>38</v>
      </c>
      <c r="M15" s="8">
        <v>3.0</v>
      </c>
      <c r="N15" s="9">
        <f t="shared" si="1"/>
        <v>6</v>
      </c>
      <c r="O15" s="10" t="s">
        <v>32</v>
      </c>
      <c r="P15" s="10" t="s">
        <v>140</v>
      </c>
      <c r="Q15" s="8" t="s">
        <v>103</v>
      </c>
      <c r="R15" s="12" t="s">
        <v>35</v>
      </c>
      <c r="S15" s="8" t="s">
        <v>149</v>
      </c>
      <c r="T15" s="8"/>
      <c r="U15" s="8"/>
      <c r="V15" s="8"/>
      <c r="W15" s="8"/>
    </row>
    <row r="16">
      <c r="B16" s="6" t="s">
        <v>150</v>
      </c>
      <c r="C16" s="7" t="s">
        <v>151</v>
      </c>
      <c r="D16" s="7" t="s">
        <v>135</v>
      </c>
      <c r="E16" s="7" t="s">
        <v>152</v>
      </c>
      <c r="F16" s="8" t="s">
        <v>153</v>
      </c>
      <c r="G16" s="8" t="s">
        <v>154</v>
      </c>
      <c r="H16" s="7" t="s">
        <v>29</v>
      </c>
      <c r="I16" s="8" t="s">
        <v>45</v>
      </c>
      <c r="J16" s="8">
        <v>2.0</v>
      </c>
      <c r="K16" s="11" t="s">
        <v>155</v>
      </c>
      <c r="L16" s="8" t="s">
        <v>38</v>
      </c>
      <c r="M16" s="8">
        <v>3.0</v>
      </c>
      <c r="N16" s="9">
        <f t="shared" si="1"/>
        <v>6</v>
      </c>
      <c r="O16" s="10" t="s">
        <v>32</v>
      </c>
      <c r="P16" s="10" t="s">
        <v>140</v>
      </c>
      <c r="Q16" s="8" t="s">
        <v>156</v>
      </c>
      <c r="R16" s="12" t="s">
        <v>35</v>
      </c>
      <c r="S16" s="8" t="s">
        <v>157</v>
      </c>
      <c r="T16" s="8"/>
      <c r="U16" s="8"/>
      <c r="V16" s="8"/>
      <c r="W16" s="8"/>
    </row>
    <row r="17">
      <c r="B17" s="6" t="s">
        <v>158</v>
      </c>
      <c r="C17" s="7" t="s">
        <v>159</v>
      </c>
      <c r="D17" s="7" t="s">
        <v>135</v>
      </c>
      <c r="E17" s="7" t="s">
        <v>160</v>
      </c>
      <c r="F17" s="8" t="s">
        <v>161</v>
      </c>
      <c r="G17" s="8" t="s">
        <v>162</v>
      </c>
      <c r="H17" s="7" t="s">
        <v>68</v>
      </c>
      <c r="I17" s="8" t="s">
        <v>30</v>
      </c>
      <c r="J17" s="8">
        <v>3.0</v>
      </c>
      <c r="K17" s="8" t="s">
        <v>163</v>
      </c>
      <c r="L17" s="8" t="s">
        <v>58</v>
      </c>
      <c r="M17" s="8">
        <v>2.0</v>
      </c>
      <c r="N17" s="9">
        <f t="shared" si="1"/>
        <v>6</v>
      </c>
      <c r="O17" s="10" t="s">
        <v>82</v>
      </c>
      <c r="P17" s="10" t="s">
        <v>164</v>
      </c>
      <c r="Q17" s="8" t="s">
        <v>165</v>
      </c>
      <c r="R17" s="8" t="s">
        <v>73</v>
      </c>
      <c r="S17" s="8" t="s">
        <v>166</v>
      </c>
      <c r="T17" s="8" t="s">
        <v>50</v>
      </c>
      <c r="U17" s="8" t="s">
        <v>50</v>
      </c>
      <c r="V17" s="8" t="s">
        <v>50</v>
      </c>
      <c r="W17" s="8" t="s">
        <v>167</v>
      </c>
    </row>
    <row r="18">
      <c r="B18" s="6" t="s">
        <v>168</v>
      </c>
      <c r="C18" s="7" t="s">
        <v>169</v>
      </c>
      <c r="D18" s="7" t="s">
        <v>135</v>
      </c>
      <c r="E18" s="7" t="s">
        <v>170</v>
      </c>
      <c r="F18" s="8" t="s">
        <v>171</v>
      </c>
      <c r="G18" s="8" t="s">
        <v>172</v>
      </c>
      <c r="H18" s="7" t="s">
        <v>68</v>
      </c>
      <c r="I18" s="8" t="s">
        <v>45</v>
      </c>
      <c r="J18" s="8">
        <v>2.0</v>
      </c>
      <c r="K18" s="8" t="s">
        <v>173</v>
      </c>
      <c r="L18" s="8" t="s">
        <v>58</v>
      </c>
      <c r="M18" s="8">
        <v>2.0</v>
      </c>
      <c r="N18" s="9">
        <f t="shared" si="1"/>
        <v>4</v>
      </c>
      <c r="O18" s="10" t="s">
        <v>82</v>
      </c>
      <c r="P18" s="10" t="s">
        <v>164</v>
      </c>
      <c r="Q18" s="8" t="s">
        <v>165</v>
      </c>
      <c r="R18" s="8" t="s">
        <v>73</v>
      </c>
      <c r="S18" s="8" t="s">
        <v>174</v>
      </c>
      <c r="T18" s="8"/>
      <c r="U18" s="8"/>
      <c r="V18" s="8"/>
      <c r="W18" s="8"/>
    </row>
    <row r="19">
      <c r="B19" s="6" t="s">
        <v>175</v>
      </c>
      <c r="C19" s="7" t="s">
        <v>176</v>
      </c>
      <c r="D19" s="7" t="s">
        <v>177</v>
      </c>
      <c r="E19" s="7" t="s">
        <v>178</v>
      </c>
      <c r="F19" s="8" t="s">
        <v>179</v>
      </c>
      <c r="G19" s="8" t="s">
        <v>180</v>
      </c>
      <c r="H19" s="7" t="s">
        <v>29</v>
      </c>
      <c r="I19" s="8" t="s">
        <v>30</v>
      </c>
      <c r="J19" s="8">
        <v>3.0</v>
      </c>
      <c r="K19" s="8" t="s">
        <v>181</v>
      </c>
      <c r="L19" s="8" t="s">
        <v>30</v>
      </c>
      <c r="M19" s="8">
        <v>3.0</v>
      </c>
      <c r="N19" s="9">
        <f t="shared" si="1"/>
        <v>9</v>
      </c>
      <c r="O19" s="10" t="s">
        <v>182</v>
      </c>
      <c r="P19" s="10" t="s">
        <v>140</v>
      </c>
      <c r="Q19" s="8" t="s">
        <v>103</v>
      </c>
      <c r="R19" s="8" t="s">
        <v>183</v>
      </c>
      <c r="S19" s="8" t="s">
        <v>184</v>
      </c>
      <c r="T19" s="8"/>
      <c r="U19" s="8"/>
      <c r="V19" s="8"/>
      <c r="W19" s="8"/>
    </row>
    <row r="20">
      <c r="B20" s="6" t="s">
        <v>185</v>
      </c>
      <c r="C20" s="7" t="s">
        <v>186</v>
      </c>
      <c r="D20" s="7" t="s">
        <v>177</v>
      </c>
      <c r="E20" s="7" t="s">
        <v>187</v>
      </c>
      <c r="F20" s="8" t="s">
        <v>188</v>
      </c>
      <c r="G20" s="8" t="s">
        <v>189</v>
      </c>
      <c r="H20" s="7" t="s">
        <v>29</v>
      </c>
      <c r="I20" s="8" t="s">
        <v>45</v>
      </c>
      <c r="J20" s="8">
        <v>2.0</v>
      </c>
      <c r="K20" s="8" t="s">
        <v>190</v>
      </c>
      <c r="L20" s="8" t="s">
        <v>30</v>
      </c>
      <c r="M20" s="8">
        <v>3.0</v>
      </c>
      <c r="N20" s="9">
        <f t="shared" si="1"/>
        <v>6</v>
      </c>
      <c r="O20" s="10" t="s">
        <v>32</v>
      </c>
      <c r="P20" s="10" t="s">
        <v>140</v>
      </c>
      <c r="Q20" s="8" t="s">
        <v>191</v>
      </c>
      <c r="R20" s="8" t="s">
        <v>35</v>
      </c>
      <c r="S20" s="8" t="s">
        <v>192</v>
      </c>
      <c r="T20" s="8"/>
      <c r="U20" s="8"/>
      <c r="V20" s="8"/>
      <c r="W20" s="8"/>
    </row>
    <row r="21">
      <c r="B21" s="6" t="s">
        <v>193</v>
      </c>
      <c r="C21" s="7" t="s">
        <v>194</v>
      </c>
      <c r="D21" s="7" t="s">
        <v>177</v>
      </c>
      <c r="E21" s="7" t="s">
        <v>195</v>
      </c>
      <c r="F21" s="8" t="s">
        <v>196</v>
      </c>
      <c r="G21" s="8" t="s">
        <v>197</v>
      </c>
      <c r="H21" s="7" t="s">
        <v>29</v>
      </c>
      <c r="I21" s="8" t="s">
        <v>45</v>
      </c>
      <c r="J21" s="8">
        <v>2.0</v>
      </c>
      <c r="K21" s="8" t="s">
        <v>198</v>
      </c>
      <c r="L21" s="8" t="s">
        <v>58</v>
      </c>
      <c r="M21" s="8">
        <v>2.0</v>
      </c>
      <c r="N21" s="9">
        <f t="shared" si="1"/>
        <v>4</v>
      </c>
      <c r="O21" s="10" t="s">
        <v>32</v>
      </c>
      <c r="P21" s="10" t="s">
        <v>140</v>
      </c>
      <c r="Q21" s="8" t="s">
        <v>199</v>
      </c>
      <c r="R21" s="8" t="s">
        <v>35</v>
      </c>
      <c r="S21" s="8" t="s">
        <v>200</v>
      </c>
      <c r="T21" s="8"/>
      <c r="U21" s="8"/>
      <c r="V21" s="8"/>
      <c r="W21" s="8"/>
    </row>
    <row r="22">
      <c r="B22" s="6" t="s">
        <v>201</v>
      </c>
      <c r="C22" s="7" t="s">
        <v>202</v>
      </c>
      <c r="D22" s="7" t="s">
        <v>177</v>
      </c>
      <c r="E22" s="7" t="s">
        <v>203</v>
      </c>
      <c r="F22" s="8" t="s">
        <v>204</v>
      </c>
      <c r="G22" s="8" t="s">
        <v>205</v>
      </c>
      <c r="H22" s="7" t="s">
        <v>68</v>
      </c>
      <c r="I22" s="8" t="s">
        <v>45</v>
      </c>
      <c r="J22" s="8">
        <v>2.0</v>
      </c>
      <c r="K22" s="8" t="s">
        <v>206</v>
      </c>
      <c r="L22" s="8" t="s">
        <v>38</v>
      </c>
      <c r="M22" s="8">
        <v>3.0</v>
      </c>
      <c r="N22" s="9">
        <f t="shared" si="1"/>
        <v>6</v>
      </c>
      <c r="O22" s="10" t="s">
        <v>70</v>
      </c>
      <c r="P22" s="10" t="s">
        <v>123</v>
      </c>
      <c r="Q22" s="8" t="s">
        <v>207</v>
      </c>
      <c r="R22" s="8" t="s">
        <v>73</v>
      </c>
      <c r="S22" s="8" t="s">
        <v>208</v>
      </c>
      <c r="T22" s="8"/>
      <c r="U22" s="8"/>
      <c r="V22" s="8"/>
      <c r="W22" s="8"/>
    </row>
    <row r="23">
      <c r="B23" s="6" t="s">
        <v>209</v>
      </c>
      <c r="C23" s="7" t="s">
        <v>210</v>
      </c>
      <c r="D23" s="7" t="s">
        <v>177</v>
      </c>
      <c r="E23" s="7" t="s">
        <v>211</v>
      </c>
      <c r="F23" s="8" t="s">
        <v>212</v>
      </c>
      <c r="G23" s="8" t="s">
        <v>213</v>
      </c>
      <c r="H23" s="7" t="s">
        <v>68</v>
      </c>
      <c r="I23" s="8" t="s">
        <v>45</v>
      </c>
      <c r="J23" s="8">
        <v>2.0</v>
      </c>
      <c r="K23" s="8" t="s">
        <v>214</v>
      </c>
      <c r="L23" s="8" t="s">
        <v>58</v>
      </c>
      <c r="M23" s="8">
        <v>2.0</v>
      </c>
      <c r="N23" s="9">
        <f t="shared" si="1"/>
        <v>4</v>
      </c>
      <c r="O23" s="10" t="s">
        <v>70</v>
      </c>
      <c r="P23" s="10" t="s">
        <v>123</v>
      </c>
      <c r="Q23" s="8" t="s">
        <v>215</v>
      </c>
      <c r="R23" s="8" t="s">
        <v>73</v>
      </c>
      <c r="S23" s="8" t="s">
        <v>216</v>
      </c>
      <c r="T23" s="8"/>
      <c r="U23" s="8"/>
      <c r="V23" s="8"/>
      <c r="W23" s="8"/>
    </row>
    <row r="25">
      <c r="B25" s="13"/>
      <c r="C25" s="13"/>
      <c r="D25" s="13"/>
      <c r="E25" s="13"/>
      <c r="F25" s="13"/>
      <c r="G25" s="13"/>
      <c r="H25" s="13"/>
    </row>
    <row r="26">
      <c r="B26" s="14"/>
      <c r="C26" s="15"/>
      <c r="D26" s="15"/>
      <c r="E26" s="15"/>
      <c r="F26" s="15"/>
      <c r="G26" s="15"/>
      <c r="H26" s="15"/>
      <c r="I26" s="15"/>
      <c r="J26" s="15"/>
      <c r="K26" s="16"/>
    </row>
    <row r="27">
      <c r="B27" s="1"/>
      <c r="C27" s="1"/>
      <c r="D27" s="1"/>
      <c r="E27" s="1"/>
      <c r="F27" s="1"/>
      <c r="G27" s="1"/>
      <c r="H27" s="1"/>
      <c r="I27" s="1"/>
      <c r="J27" s="1"/>
      <c r="K27" s="17"/>
    </row>
    <row r="28">
      <c r="B28" s="1"/>
      <c r="C28" s="1"/>
      <c r="D28" s="1"/>
      <c r="E28" s="18" t="s">
        <v>11</v>
      </c>
      <c r="F28" s="19"/>
      <c r="G28" s="20"/>
      <c r="H28" s="1"/>
      <c r="I28" s="1"/>
      <c r="J28" s="1"/>
      <c r="K28" s="17"/>
    </row>
    <row r="29">
      <c r="B29" s="21"/>
      <c r="C29" s="21"/>
      <c r="D29" s="21"/>
      <c r="E29" s="22" t="s">
        <v>217</v>
      </c>
      <c r="F29" s="22" t="s">
        <v>58</v>
      </c>
      <c r="G29" s="22" t="s">
        <v>38</v>
      </c>
      <c r="H29" s="21"/>
      <c r="I29" s="1"/>
      <c r="J29" s="1"/>
      <c r="K29" s="17"/>
    </row>
    <row r="30">
      <c r="B30" s="1"/>
      <c r="C30" s="1"/>
      <c r="D30" s="1"/>
      <c r="E30" s="23">
        <v>1.0</v>
      </c>
      <c r="F30" s="23">
        <v>2.0</v>
      </c>
      <c r="G30" s="23">
        <v>3.0</v>
      </c>
      <c r="H30" s="1"/>
      <c r="I30" s="1"/>
      <c r="J30" s="1"/>
      <c r="K30" s="17"/>
    </row>
    <row r="31">
      <c r="B31" s="24" t="s">
        <v>8</v>
      </c>
      <c r="C31" s="23" t="s">
        <v>218</v>
      </c>
      <c r="D31" s="23">
        <v>1.0</v>
      </c>
      <c r="E31" s="25">
        <f>D31*E30</f>
        <v>1</v>
      </c>
      <c r="F31" s="25">
        <f>D31*F30</f>
        <v>2</v>
      </c>
      <c r="G31" s="26">
        <f>D31*G30</f>
        <v>3</v>
      </c>
      <c r="H31" s="1"/>
      <c r="I31" s="1"/>
      <c r="J31" s="1"/>
      <c r="K31" s="17"/>
    </row>
    <row r="32">
      <c r="B32" s="27"/>
      <c r="C32" s="23" t="s">
        <v>45</v>
      </c>
      <c r="D32" s="23">
        <v>2.0</v>
      </c>
      <c r="E32" s="25">
        <f>D32*E30</f>
        <v>2</v>
      </c>
      <c r="F32" s="26">
        <f>D32*F30</f>
        <v>4</v>
      </c>
      <c r="G32" s="28">
        <f>D32*G30</f>
        <v>6</v>
      </c>
      <c r="H32" s="1"/>
      <c r="I32" s="1"/>
      <c r="J32" s="1"/>
      <c r="K32" s="17"/>
    </row>
    <row r="33">
      <c r="B33" s="29"/>
      <c r="C33" s="23" t="s">
        <v>30</v>
      </c>
      <c r="D33" s="23">
        <v>3.0</v>
      </c>
      <c r="E33" s="26">
        <f>D33*E30</f>
        <v>3</v>
      </c>
      <c r="F33" s="28">
        <f>D33*F30</f>
        <v>6</v>
      </c>
      <c r="G33" s="28">
        <f>D33*G30</f>
        <v>9</v>
      </c>
      <c r="H33" s="1"/>
      <c r="I33" s="1"/>
      <c r="J33" s="1"/>
      <c r="K33" s="17"/>
    </row>
    <row r="34">
      <c r="B34" s="1"/>
      <c r="C34" s="1"/>
      <c r="D34" s="1"/>
      <c r="E34" s="1"/>
      <c r="F34" s="1"/>
      <c r="G34" s="1"/>
      <c r="H34" s="1"/>
      <c r="I34" s="1"/>
      <c r="J34" s="1"/>
      <c r="K34" s="17"/>
    </row>
    <row r="35">
      <c r="B35" s="1"/>
      <c r="C35" s="1"/>
      <c r="D35" s="1"/>
      <c r="E35" s="1"/>
      <c r="F35" s="1"/>
      <c r="G35" s="1"/>
      <c r="H35" s="1"/>
      <c r="I35" s="1"/>
      <c r="J35" s="1"/>
      <c r="K35" s="17"/>
    </row>
    <row r="36">
      <c r="B36" s="1"/>
      <c r="C36" s="1"/>
      <c r="D36" s="1"/>
      <c r="E36" s="1"/>
      <c r="F36" s="1"/>
      <c r="G36" s="1"/>
      <c r="H36" s="1"/>
      <c r="I36" s="1"/>
      <c r="J36" s="1"/>
      <c r="K36" s="17"/>
    </row>
    <row r="37">
      <c r="B37" s="30"/>
      <c r="C37" s="30"/>
      <c r="D37" s="30"/>
      <c r="E37" s="30"/>
      <c r="F37" s="30"/>
      <c r="G37" s="30"/>
      <c r="H37" s="30"/>
      <c r="I37" s="30"/>
      <c r="J37" s="30"/>
      <c r="K37" s="17"/>
    </row>
    <row r="38">
      <c r="B38" s="31"/>
      <c r="C38" s="31"/>
      <c r="D38" s="31"/>
      <c r="E38" s="31"/>
      <c r="F38" s="31"/>
      <c r="G38" s="31"/>
      <c r="H38" s="31"/>
      <c r="I38" s="31"/>
      <c r="J38" s="31"/>
      <c r="K38" s="32"/>
    </row>
    <row r="44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</sheetData>
  <mergeCells count="3">
    <mergeCell ref="B26:K26"/>
    <mergeCell ref="E28:G28"/>
    <mergeCell ref="B31:B33"/>
  </mergeCells>
  <conditionalFormatting sqref="N4:N23">
    <cfRule type="cellIs" dxfId="0" priority="1" operator="between">
      <formula>6</formula>
      <formula>9</formula>
    </cfRule>
  </conditionalFormatting>
  <conditionalFormatting sqref="N4:N23">
    <cfRule type="cellIs" dxfId="1" priority="2" operator="between">
      <formula>3</formula>
      <formula>5</formula>
    </cfRule>
  </conditionalFormatting>
  <conditionalFormatting sqref="N4:N23">
    <cfRule type="cellIs" dxfId="2" priority="3" operator="between">
      <formula>1</formula>
      <formula>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26.0"/>
    <col customWidth="1" min="4" max="4" width="39.0"/>
    <col customWidth="1" min="5" max="5" width="19.38"/>
    <col customWidth="1" min="6" max="6" width="29.88"/>
  </cols>
  <sheetData>
    <row r="5" ht="27.75" customHeight="1">
      <c r="B5" s="33" t="s">
        <v>219</v>
      </c>
      <c r="C5" s="34" t="s">
        <v>220</v>
      </c>
      <c r="D5" s="34" t="s">
        <v>221</v>
      </c>
      <c r="E5" s="34" t="s">
        <v>222</v>
      </c>
      <c r="F5" s="35" t="s">
        <v>223</v>
      </c>
    </row>
    <row r="6" ht="59.25" customHeight="1">
      <c r="B6" s="36" t="s">
        <v>224</v>
      </c>
      <c r="C6" s="37" t="s">
        <v>225</v>
      </c>
      <c r="D6" s="37" t="s">
        <v>226</v>
      </c>
      <c r="E6" s="37" t="s">
        <v>33</v>
      </c>
      <c r="F6" s="38" t="s">
        <v>227</v>
      </c>
    </row>
    <row r="7" ht="59.25" customHeight="1">
      <c r="B7" s="36" t="s">
        <v>41</v>
      </c>
      <c r="C7" s="37" t="s">
        <v>228</v>
      </c>
      <c r="D7" s="37" t="s">
        <v>229</v>
      </c>
      <c r="E7" s="37" t="s">
        <v>47</v>
      </c>
      <c r="F7" s="38" t="s">
        <v>230</v>
      </c>
    </row>
    <row r="8" ht="59.25" customHeight="1">
      <c r="B8" s="36" t="s">
        <v>53</v>
      </c>
      <c r="C8" s="37" t="s">
        <v>231</v>
      </c>
      <c r="D8" s="37" t="s">
        <v>232</v>
      </c>
      <c r="E8" s="37" t="s">
        <v>59</v>
      </c>
      <c r="F8" s="38" t="s">
        <v>233</v>
      </c>
    </row>
    <row r="9" ht="59.25" customHeight="1">
      <c r="B9" s="36" t="s">
        <v>234</v>
      </c>
      <c r="C9" s="37" t="s">
        <v>235</v>
      </c>
      <c r="D9" s="37" t="s">
        <v>236</v>
      </c>
      <c r="E9" s="37" t="s">
        <v>94</v>
      </c>
      <c r="F9" s="38" t="s">
        <v>237</v>
      </c>
    </row>
    <row r="10" ht="59.25" customHeight="1">
      <c r="B10" s="36" t="s">
        <v>99</v>
      </c>
      <c r="C10" s="37" t="s">
        <v>238</v>
      </c>
      <c r="D10" s="37" t="s">
        <v>239</v>
      </c>
      <c r="E10" s="37" t="s">
        <v>59</v>
      </c>
      <c r="F10" s="38" t="s">
        <v>240</v>
      </c>
    </row>
    <row r="11" ht="59.25" customHeight="1">
      <c r="B11" s="36" t="s">
        <v>134</v>
      </c>
      <c r="C11" s="37" t="s">
        <v>241</v>
      </c>
      <c r="D11" s="37" t="s">
        <v>242</v>
      </c>
      <c r="E11" s="37" t="s">
        <v>140</v>
      </c>
      <c r="F11" s="38" t="s">
        <v>243</v>
      </c>
    </row>
    <row r="12" ht="59.25" customHeight="1">
      <c r="B12" s="36" t="s">
        <v>144</v>
      </c>
      <c r="C12" s="37" t="s">
        <v>244</v>
      </c>
      <c r="D12" s="37" t="s">
        <v>245</v>
      </c>
      <c r="E12" s="37" t="s">
        <v>140</v>
      </c>
      <c r="F12" s="38" t="s">
        <v>246</v>
      </c>
    </row>
    <row r="13" ht="59.25" customHeight="1">
      <c r="B13" s="36" t="s">
        <v>151</v>
      </c>
      <c r="C13" s="37" t="s">
        <v>247</v>
      </c>
      <c r="D13" s="37" t="s">
        <v>248</v>
      </c>
      <c r="E13" s="37" t="s">
        <v>140</v>
      </c>
      <c r="F13" s="38" t="s">
        <v>249</v>
      </c>
    </row>
    <row r="14" ht="59.25" customHeight="1">
      <c r="B14" s="39" t="s">
        <v>176</v>
      </c>
      <c r="C14" s="40" t="s">
        <v>250</v>
      </c>
      <c r="D14" s="40" t="s">
        <v>251</v>
      </c>
      <c r="E14" s="40" t="s">
        <v>140</v>
      </c>
      <c r="F14" s="41" t="s">
        <v>252</v>
      </c>
    </row>
    <row r="15" ht="59.25" customHeight="1">
      <c r="B15" s="39" t="s">
        <v>186</v>
      </c>
      <c r="C15" s="40" t="s">
        <v>253</v>
      </c>
      <c r="D15" s="40" t="s">
        <v>254</v>
      </c>
      <c r="E15" s="40" t="s">
        <v>140</v>
      </c>
      <c r="F15" s="41" t="s">
        <v>255</v>
      </c>
    </row>
    <row r="16" ht="59.25" customHeight="1">
      <c r="B16" s="39" t="s">
        <v>194</v>
      </c>
      <c r="C16" s="40" t="s">
        <v>256</v>
      </c>
      <c r="D16" s="40" t="s">
        <v>257</v>
      </c>
      <c r="E16" s="40" t="s">
        <v>140</v>
      </c>
      <c r="F16" s="41" t="s">
        <v>258</v>
      </c>
    </row>
    <row r="17" ht="59.25" customHeight="1">
      <c r="B17" s="39" t="s">
        <v>259</v>
      </c>
      <c r="C17" s="40" t="s">
        <v>260</v>
      </c>
      <c r="D17" s="40" t="s">
        <v>261</v>
      </c>
      <c r="E17" s="40" t="s">
        <v>83</v>
      </c>
      <c r="F17" s="41" t="s">
        <v>262</v>
      </c>
    </row>
    <row r="18" ht="59.25" customHeight="1">
      <c r="B18" s="39" t="s">
        <v>118</v>
      </c>
      <c r="C18" s="40" t="s">
        <v>263</v>
      </c>
      <c r="D18" s="40" t="s">
        <v>264</v>
      </c>
      <c r="E18" s="40" t="s">
        <v>123</v>
      </c>
      <c r="F18" s="41" t="s">
        <v>265</v>
      </c>
    </row>
    <row r="19" ht="59.25" customHeight="1">
      <c r="B19" s="39" t="s">
        <v>127</v>
      </c>
      <c r="C19" s="40" t="s">
        <v>266</v>
      </c>
      <c r="D19" s="40" t="s">
        <v>267</v>
      </c>
      <c r="E19" s="40" t="s">
        <v>123</v>
      </c>
      <c r="F19" s="41" t="s">
        <v>268</v>
      </c>
    </row>
    <row r="20" ht="59.25" customHeight="1">
      <c r="B20" s="39" t="s">
        <v>159</v>
      </c>
      <c r="C20" s="40" t="s">
        <v>269</v>
      </c>
      <c r="D20" s="40" t="s">
        <v>270</v>
      </c>
      <c r="E20" s="40" t="s">
        <v>164</v>
      </c>
      <c r="F20" s="41" t="s">
        <v>271</v>
      </c>
    </row>
    <row r="21" ht="59.25" customHeight="1">
      <c r="B21" s="39" t="s">
        <v>169</v>
      </c>
      <c r="C21" s="40" t="s">
        <v>272</v>
      </c>
      <c r="D21" s="40" t="s">
        <v>273</v>
      </c>
      <c r="E21" s="40" t="s">
        <v>164</v>
      </c>
      <c r="F21" s="41" t="s">
        <v>274</v>
      </c>
    </row>
    <row r="22" ht="59.25" customHeight="1">
      <c r="B22" s="39" t="s">
        <v>202</v>
      </c>
      <c r="C22" s="40" t="s">
        <v>275</v>
      </c>
      <c r="D22" s="40" t="s">
        <v>276</v>
      </c>
      <c r="E22" s="40" t="s">
        <v>123</v>
      </c>
      <c r="F22" s="41" t="s">
        <v>277</v>
      </c>
    </row>
    <row r="23" ht="59.25" customHeight="1">
      <c r="B23" s="39" t="s">
        <v>210</v>
      </c>
      <c r="C23" s="40" t="s">
        <v>278</v>
      </c>
      <c r="D23" s="40" t="s">
        <v>279</v>
      </c>
      <c r="E23" s="40" t="s">
        <v>123</v>
      </c>
      <c r="F23" s="41" t="s">
        <v>280</v>
      </c>
    </row>
    <row r="24" ht="59.25" customHeight="1">
      <c r="B24" s="39" t="s">
        <v>64</v>
      </c>
      <c r="C24" s="40" t="s">
        <v>281</v>
      </c>
      <c r="D24" s="40" t="s">
        <v>282</v>
      </c>
      <c r="E24" s="40" t="s">
        <v>71</v>
      </c>
      <c r="F24" s="41" t="s">
        <v>283</v>
      </c>
    </row>
    <row r="25" ht="59.25" customHeight="1">
      <c r="B25" s="42" t="s">
        <v>107</v>
      </c>
      <c r="C25" s="43" t="s">
        <v>284</v>
      </c>
      <c r="D25" s="43" t="s">
        <v>285</v>
      </c>
      <c r="E25" s="43" t="s">
        <v>113</v>
      </c>
      <c r="F25" s="44" t="s">
        <v>286</v>
      </c>
    </row>
    <row r="63">
      <c r="B63" s="13"/>
      <c r="C63" s="13"/>
      <c r="D63" s="13"/>
      <c r="E63" s="13"/>
      <c r="F6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4" width="17.63"/>
    <col customWidth="1" min="5" max="5" width="29.88"/>
    <col customWidth="1" min="6" max="6" width="17.5"/>
    <col customWidth="1" min="7" max="7" width="25.63"/>
    <col customWidth="1" min="8" max="8" width="27.88"/>
    <col customWidth="1" min="10" max="10" width="34.63"/>
    <col customWidth="1" min="12" max="12" width="19.75"/>
    <col customWidth="1" min="13" max="13" width="21.38"/>
  </cols>
  <sheetData>
    <row r="3" ht="34.5" customHeight="1">
      <c r="B3" s="45" t="s">
        <v>219</v>
      </c>
      <c r="C3" s="46" t="s">
        <v>287</v>
      </c>
      <c r="D3" s="46" t="s">
        <v>288</v>
      </c>
      <c r="E3" s="47" t="s">
        <v>289</v>
      </c>
      <c r="F3" s="46" t="s">
        <v>290</v>
      </c>
      <c r="G3" s="46" t="s">
        <v>291</v>
      </c>
      <c r="H3" s="46" t="s">
        <v>292</v>
      </c>
      <c r="I3" s="46" t="s">
        <v>293</v>
      </c>
      <c r="J3" s="46" t="s">
        <v>222</v>
      </c>
      <c r="K3" s="46" t="s">
        <v>223</v>
      </c>
      <c r="L3" s="48" t="s">
        <v>294</v>
      </c>
    </row>
    <row r="4">
      <c r="B4" s="36" t="s">
        <v>295</v>
      </c>
      <c r="C4" s="37" t="s">
        <v>296</v>
      </c>
      <c r="D4" s="37" t="s">
        <v>297</v>
      </c>
      <c r="E4" s="49" t="s">
        <v>298</v>
      </c>
      <c r="F4" s="49"/>
      <c r="G4" s="49" t="s">
        <v>299</v>
      </c>
      <c r="H4" s="50"/>
      <c r="I4" s="37" t="s">
        <v>300</v>
      </c>
      <c r="J4" s="37" t="s">
        <v>33</v>
      </c>
      <c r="K4" s="37" t="s">
        <v>301</v>
      </c>
      <c r="L4" s="38"/>
    </row>
    <row r="5">
      <c r="B5" s="36" t="s">
        <v>302</v>
      </c>
      <c r="C5" s="37" t="s">
        <v>303</v>
      </c>
      <c r="D5" s="37" t="s">
        <v>304</v>
      </c>
      <c r="E5" s="49" t="s">
        <v>305</v>
      </c>
      <c r="F5" s="49"/>
      <c r="G5" s="49" t="s">
        <v>306</v>
      </c>
      <c r="H5" s="50"/>
      <c r="I5" s="37" t="s">
        <v>307</v>
      </c>
      <c r="J5" s="37" t="s">
        <v>308</v>
      </c>
      <c r="K5" s="37" t="s">
        <v>309</v>
      </c>
      <c r="L5" s="38"/>
    </row>
    <row r="6">
      <c r="B6" s="36" t="s">
        <v>310</v>
      </c>
      <c r="C6" s="37" t="s">
        <v>311</v>
      </c>
      <c r="D6" s="37" t="s">
        <v>312</v>
      </c>
      <c r="E6" s="49" t="s">
        <v>305</v>
      </c>
      <c r="F6" s="49"/>
      <c r="G6" s="49" t="s">
        <v>299</v>
      </c>
      <c r="H6" s="50"/>
      <c r="I6" s="37" t="s">
        <v>313</v>
      </c>
      <c r="J6" s="37" t="s">
        <v>314</v>
      </c>
      <c r="K6" s="37" t="s">
        <v>315</v>
      </c>
      <c r="L6" s="38"/>
    </row>
    <row r="7">
      <c r="B7" s="36" t="s">
        <v>316</v>
      </c>
      <c r="C7" s="37" t="s">
        <v>317</v>
      </c>
      <c r="D7" s="37" t="s">
        <v>318</v>
      </c>
      <c r="E7" s="49" t="s">
        <v>319</v>
      </c>
      <c r="F7" s="49"/>
      <c r="G7" s="49" t="s">
        <v>320</v>
      </c>
      <c r="H7" s="50"/>
      <c r="I7" s="37" t="s">
        <v>321</v>
      </c>
      <c r="J7" s="37" t="s">
        <v>47</v>
      </c>
      <c r="K7" s="37" t="s">
        <v>322</v>
      </c>
      <c r="L7" s="38"/>
    </row>
    <row r="8">
      <c r="B8" s="36" t="s">
        <v>323</v>
      </c>
      <c r="C8" s="37" t="s">
        <v>324</v>
      </c>
      <c r="D8" s="37" t="s">
        <v>325</v>
      </c>
      <c r="E8" s="49" t="s">
        <v>305</v>
      </c>
      <c r="F8" s="49"/>
      <c r="G8" s="49" t="s">
        <v>326</v>
      </c>
      <c r="H8" s="50"/>
      <c r="I8" s="37" t="s">
        <v>327</v>
      </c>
      <c r="J8" s="37" t="s">
        <v>314</v>
      </c>
      <c r="K8" s="37" t="s">
        <v>328</v>
      </c>
      <c r="L8" s="38"/>
    </row>
    <row r="9">
      <c r="B9" s="36" t="s">
        <v>329</v>
      </c>
      <c r="C9" s="37" t="s">
        <v>330</v>
      </c>
      <c r="D9" s="37" t="s">
        <v>331</v>
      </c>
      <c r="E9" s="49" t="s">
        <v>332</v>
      </c>
      <c r="F9" s="49"/>
      <c r="G9" s="49" t="s">
        <v>333</v>
      </c>
      <c r="H9" s="50"/>
      <c r="I9" s="37" t="s">
        <v>334</v>
      </c>
      <c r="J9" s="37" t="s">
        <v>140</v>
      </c>
      <c r="K9" s="37" t="s">
        <v>335</v>
      </c>
      <c r="L9" s="38"/>
    </row>
    <row r="10">
      <c r="B10" s="36" t="s">
        <v>336</v>
      </c>
      <c r="C10" s="37" t="s">
        <v>337</v>
      </c>
      <c r="D10" s="37" t="s">
        <v>338</v>
      </c>
      <c r="E10" s="49" t="s">
        <v>319</v>
      </c>
      <c r="F10" s="49"/>
      <c r="G10" s="49" t="s">
        <v>339</v>
      </c>
      <c r="H10" s="50"/>
      <c r="I10" s="37" t="s">
        <v>340</v>
      </c>
      <c r="J10" s="37" t="s">
        <v>140</v>
      </c>
      <c r="K10" s="37" t="s">
        <v>341</v>
      </c>
      <c r="L10" s="38"/>
    </row>
    <row r="11">
      <c r="B11" s="36" t="s">
        <v>342</v>
      </c>
      <c r="C11" s="37" t="s">
        <v>343</v>
      </c>
      <c r="D11" s="37" t="s">
        <v>344</v>
      </c>
      <c r="E11" s="49" t="s">
        <v>345</v>
      </c>
      <c r="F11" s="49"/>
      <c r="G11" s="49" t="s">
        <v>346</v>
      </c>
      <c r="H11" s="50"/>
      <c r="I11" s="37" t="s">
        <v>347</v>
      </c>
      <c r="J11" s="37" t="s">
        <v>348</v>
      </c>
      <c r="K11" s="37" t="s">
        <v>349</v>
      </c>
      <c r="L11" s="38"/>
    </row>
    <row r="12">
      <c r="B12" s="36"/>
      <c r="C12" s="37"/>
      <c r="D12" s="37"/>
      <c r="E12" s="49"/>
      <c r="F12" s="49"/>
      <c r="G12" s="49"/>
      <c r="H12" s="50"/>
      <c r="I12" s="37"/>
      <c r="J12" s="37"/>
      <c r="K12" s="37"/>
      <c r="L12" s="38"/>
    </row>
    <row r="13">
      <c r="B13" s="36"/>
      <c r="C13" s="37"/>
      <c r="D13" s="37"/>
      <c r="E13" s="49"/>
      <c r="F13" s="49"/>
      <c r="G13" s="49"/>
      <c r="H13" s="50"/>
      <c r="I13" s="37"/>
      <c r="J13" s="37"/>
      <c r="K13" s="37"/>
      <c r="L13" s="38"/>
    </row>
    <row r="14">
      <c r="B14" s="36"/>
      <c r="C14" s="37"/>
      <c r="D14" s="37"/>
      <c r="E14" s="49"/>
      <c r="F14" s="49"/>
      <c r="G14" s="49"/>
      <c r="H14" s="50"/>
      <c r="I14" s="37"/>
      <c r="J14" s="37"/>
      <c r="K14" s="37"/>
      <c r="L14" s="38"/>
    </row>
    <row r="15">
      <c r="B15" s="39"/>
      <c r="C15" s="40"/>
      <c r="D15" s="40"/>
      <c r="E15" s="51"/>
      <c r="F15" s="51"/>
      <c r="G15" s="51"/>
      <c r="H15" s="52"/>
      <c r="I15" s="40"/>
      <c r="J15" s="40"/>
      <c r="K15" s="40"/>
      <c r="L15" s="41"/>
    </row>
    <row r="16">
      <c r="B16" s="39"/>
      <c r="C16" s="40"/>
      <c r="D16" s="40"/>
      <c r="E16" s="51"/>
      <c r="F16" s="51"/>
      <c r="G16" s="51"/>
      <c r="H16" s="52"/>
      <c r="I16" s="40"/>
      <c r="J16" s="40"/>
      <c r="K16" s="40"/>
      <c r="L16" s="41"/>
    </row>
    <row r="17">
      <c r="B17" s="39"/>
      <c r="C17" s="40"/>
      <c r="D17" s="40"/>
      <c r="E17" s="51"/>
      <c r="F17" s="51"/>
      <c r="G17" s="51"/>
      <c r="H17" s="52"/>
      <c r="I17" s="40"/>
      <c r="J17" s="40"/>
      <c r="K17" s="40"/>
      <c r="L17" s="41"/>
    </row>
    <row r="18">
      <c r="B18" s="39"/>
      <c r="C18" s="40"/>
      <c r="D18" s="40"/>
      <c r="E18" s="51"/>
      <c r="F18" s="51"/>
      <c r="G18" s="51"/>
      <c r="H18" s="52"/>
      <c r="I18" s="40"/>
      <c r="J18" s="40"/>
      <c r="K18" s="40"/>
      <c r="L18" s="41"/>
    </row>
    <row r="19">
      <c r="B19" s="39"/>
      <c r="C19" s="40"/>
      <c r="D19" s="40"/>
      <c r="E19" s="51"/>
      <c r="F19" s="51"/>
      <c r="G19" s="51"/>
      <c r="H19" s="52"/>
      <c r="I19" s="40"/>
      <c r="J19" s="40"/>
      <c r="K19" s="40"/>
      <c r="L19" s="41"/>
    </row>
    <row r="20">
      <c r="B20" s="39"/>
      <c r="C20" s="40"/>
      <c r="D20" s="40"/>
      <c r="E20" s="51"/>
      <c r="F20" s="51"/>
      <c r="G20" s="51"/>
      <c r="H20" s="52"/>
      <c r="I20" s="40"/>
      <c r="J20" s="40"/>
      <c r="K20" s="40"/>
      <c r="L20" s="41"/>
    </row>
    <row r="21">
      <c r="B21" s="39"/>
      <c r="C21" s="40"/>
      <c r="D21" s="40"/>
      <c r="E21" s="51"/>
      <c r="F21" s="51"/>
      <c r="G21" s="51"/>
      <c r="H21" s="52"/>
      <c r="I21" s="40"/>
      <c r="J21" s="40"/>
      <c r="K21" s="40"/>
      <c r="L21" s="41"/>
    </row>
    <row r="22">
      <c r="B22" s="39"/>
      <c r="C22" s="40"/>
      <c r="D22" s="40"/>
      <c r="E22" s="51"/>
      <c r="F22" s="51"/>
      <c r="G22" s="51"/>
      <c r="H22" s="52"/>
      <c r="I22" s="40"/>
      <c r="J22" s="40"/>
      <c r="K22" s="40"/>
      <c r="L22" s="41"/>
    </row>
    <row r="23">
      <c r="B23" s="42"/>
      <c r="C23" s="43"/>
      <c r="D23" s="43"/>
      <c r="E23" s="53"/>
      <c r="F23" s="53"/>
      <c r="G23" s="53"/>
      <c r="H23" s="54"/>
      <c r="I23" s="43"/>
      <c r="J23" s="43"/>
      <c r="K23" s="43"/>
      <c r="L23" s="44"/>
    </row>
    <row r="29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</sheetData>
  <drawing r:id="rId1"/>
</worksheet>
</file>